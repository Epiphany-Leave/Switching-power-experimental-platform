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1"/>
  </bookViews>
  <sheets>
    <sheet name="Sheet2" sheetId="2" r:id="rId1"/>
    <sheet name="Sheet3" sheetId="3" r:id="rId2"/>
  </sheets>
  <calcPr calcId="125725"/>
</workbook>
</file>

<file path=xl/calcChain.xml><?xml version="1.0" encoding="utf-8"?>
<calcChain xmlns="http://schemas.openxmlformats.org/spreadsheetml/2006/main">
  <c r="G6" i="3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I6"/>
  <c r="J6" s="1"/>
  <c r="I7"/>
  <c r="J7" s="1"/>
  <c r="I8"/>
  <c r="J8" s="1"/>
  <c r="I9"/>
  <c r="J9" s="1"/>
  <c r="I10"/>
  <c r="J10" s="1"/>
  <c r="I11"/>
  <c r="I12"/>
  <c r="J12" s="1"/>
  <c r="I13"/>
  <c r="J13" s="1"/>
  <c r="I14"/>
  <c r="I15"/>
  <c r="I16"/>
  <c r="I17"/>
  <c r="I18"/>
  <c r="J18" s="1"/>
  <c r="I19"/>
  <c r="I20"/>
  <c r="J20" s="1"/>
  <c r="I21"/>
  <c r="J21" s="1"/>
  <c r="I22"/>
  <c r="I23"/>
  <c r="I24"/>
  <c r="I25"/>
  <c r="J25" s="1"/>
  <c r="I26"/>
  <c r="I27"/>
  <c r="J27" s="1"/>
  <c r="I28"/>
  <c r="I29"/>
  <c r="J11"/>
  <c r="J14"/>
  <c r="J15"/>
  <c r="J16"/>
  <c r="J19"/>
  <c r="J22"/>
  <c r="J23"/>
  <c r="J24"/>
  <c r="J26"/>
  <c r="J28"/>
  <c r="J29"/>
  <c r="I5"/>
  <c r="J5" s="1"/>
  <c r="H5"/>
  <c r="G5"/>
  <c r="B29"/>
  <c r="B28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5"/>
  <c r="D16" i="2"/>
  <c r="D15"/>
  <c r="D14"/>
  <c r="D13"/>
  <c r="D12"/>
  <c r="D11"/>
  <c r="D10"/>
  <c r="D9"/>
  <c r="D8"/>
  <c r="D7"/>
  <c r="D6"/>
  <c r="D5"/>
  <c r="D4"/>
  <c r="J17" i="3" l="1"/>
</calcChain>
</file>

<file path=xl/sharedStrings.xml><?xml version="1.0" encoding="utf-8"?>
<sst xmlns="http://schemas.openxmlformats.org/spreadsheetml/2006/main" count="33" uniqueCount="21">
  <si>
    <t>Gain</t>
  </si>
  <si>
    <t>C1</t>
  </si>
  <si>
    <t>C2</t>
  </si>
  <si>
    <t>C3</t>
  </si>
  <si>
    <t>BuckModeMaxGain</t>
  </si>
  <si>
    <t>ConstantBoostModeMaxGain</t>
  </si>
  <si>
    <t>ConstantBuckModeMaxGain</t>
  </si>
  <si>
    <t>Constant Boost Mode Duty Value</t>
  </si>
  <si>
    <t>Constant Buck Mode Duty Value</t>
  </si>
  <si>
    <t>Duty</t>
  </si>
  <si>
    <t>Vin</t>
  </si>
  <si>
    <t>Vout</t>
  </si>
  <si>
    <t>Use OPEN_LOOP==1 in the  Project Settings.h</t>
  </si>
  <si>
    <t>Iin</t>
  </si>
  <si>
    <t>Iout</t>
  </si>
  <si>
    <t>Duty*2</t>
  </si>
  <si>
    <t>Efficiency</t>
  </si>
  <si>
    <t>Pin</t>
  </si>
  <si>
    <t>Pout</t>
  </si>
  <si>
    <t>Gain &amp; Efficiency Worksheet</t>
  </si>
  <si>
    <t>Note: The values of the different operating modes are chosen such that the PWM duty is never &lt;3 clock cycle when using HRPWM, and if it is 100% CMPAHR is zero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</si>
</sst>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0" fillId="5" borderId="2" xfId="0" applyFill="1" applyBorder="1"/>
    <xf numFmtId="0" fontId="0" fillId="4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5" borderId="3" xfId="0" applyFill="1" applyBorder="1"/>
    <xf numFmtId="0" fontId="3" fillId="0" borderId="4" xfId="0" applyFont="1" applyBorder="1" applyAlignment="1">
      <alignment horizontal="center"/>
    </xf>
    <xf numFmtId="0" fontId="0" fillId="4" borderId="3" xfId="0" applyFill="1" applyBorder="1"/>
    <xf numFmtId="0" fontId="0" fillId="7" borderId="3" xfId="0" applyFill="1" applyBorder="1"/>
    <xf numFmtId="0" fontId="3" fillId="0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Border="1"/>
    <xf numFmtId="0" fontId="0" fillId="6" borderId="3" xfId="0" applyFill="1" applyBorder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>
        <c:manualLayout>
          <c:layoutTarget val="inner"/>
          <c:xMode val="edge"/>
          <c:yMode val="edge"/>
          <c:x val="4.9184377244673276E-2"/>
          <c:y val="0.19480351414406533"/>
          <c:w val="0.7567181528945458"/>
          <c:h val="0.66361475648877388"/>
        </c:manualLayout>
      </c:layout>
      <c:lineChart>
        <c:grouping val="standard"/>
        <c:ser>
          <c:idx val="0"/>
          <c:order val="0"/>
          <c:tx>
            <c:v>Gain</c:v>
          </c:tx>
          <c:marker>
            <c:symbol val="none"/>
          </c:marker>
          <c:cat>
            <c:numRef>
              <c:f>Sheet2!$A$4:$A$16</c:f>
              <c:numCache>
                <c:formatCode>General</c:formatCode>
                <c:ptCount val="13"/>
                <c:pt idx="0">
                  <c:v>0.43</c:v>
                </c:pt>
                <c:pt idx="1">
                  <c:v>0.44</c:v>
                </c:pt>
                <c:pt idx="2">
                  <c:v>0.45</c:v>
                </c:pt>
                <c:pt idx="3">
                  <c:v>0.46</c:v>
                </c:pt>
                <c:pt idx="4">
                  <c:v>0.47</c:v>
                </c:pt>
                <c:pt idx="5">
                  <c:v>0.48</c:v>
                </c:pt>
                <c:pt idx="6">
                  <c:v>0.49</c:v>
                </c:pt>
                <c:pt idx="7">
                  <c:v>0.5</c:v>
                </c:pt>
                <c:pt idx="8">
                  <c:v>0.51</c:v>
                </c:pt>
                <c:pt idx="9">
                  <c:v>0.52</c:v>
                </c:pt>
                <c:pt idx="10">
                  <c:v>0.53</c:v>
                </c:pt>
                <c:pt idx="11">
                  <c:v>0.54</c:v>
                </c:pt>
                <c:pt idx="12">
                  <c:v>0.55000000000000004</c:v>
                </c:pt>
              </c:numCache>
            </c:numRef>
          </c:cat>
          <c:val>
            <c:numRef>
              <c:f>Sheet2!$D$4:$D$16</c:f>
              <c:numCache>
                <c:formatCode>General</c:formatCode>
                <c:ptCount val="13"/>
                <c:pt idx="0">
                  <c:v>0.83214285714285718</c:v>
                </c:pt>
                <c:pt idx="1">
                  <c:v>0.84714285714285709</c:v>
                </c:pt>
                <c:pt idx="2">
                  <c:v>0.87880952380952371</c:v>
                </c:pt>
                <c:pt idx="3">
                  <c:v>0.89595238095238106</c:v>
                </c:pt>
                <c:pt idx="4">
                  <c:v>0.92142857142857149</c:v>
                </c:pt>
                <c:pt idx="5">
                  <c:v>0.94619047619047625</c:v>
                </c:pt>
                <c:pt idx="6">
                  <c:v>0.97142857142857131</c:v>
                </c:pt>
                <c:pt idx="7">
                  <c:v>0.98904761904761906</c:v>
                </c:pt>
                <c:pt idx="8">
                  <c:v>1.0071428571428571</c:v>
                </c:pt>
                <c:pt idx="9">
                  <c:v>1.0257142857142856</c:v>
                </c:pt>
                <c:pt idx="10">
                  <c:v>1.0602380952380952</c:v>
                </c:pt>
                <c:pt idx="11">
                  <c:v>1.0888095238095237</c:v>
                </c:pt>
                <c:pt idx="12">
                  <c:v>1.1085714285714285</c:v>
                </c:pt>
              </c:numCache>
            </c:numRef>
          </c:val>
        </c:ser>
        <c:marker val="1"/>
        <c:axId val="64827776"/>
        <c:axId val="64829312"/>
      </c:lineChart>
      <c:catAx>
        <c:axId val="64827776"/>
        <c:scaling>
          <c:orientation val="minMax"/>
        </c:scaling>
        <c:axPos val="b"/>
        <c:numFmt formatCode="General" sourceLinked="1"/>
        <c:tickLblPos val="nextTo"/>
        <c:crossAx val="64829312"/>
        <c:crosses val="autoZero"/>
        <c:auto val="1"/>
        <c:lblAlgn val="ctr"/>
        <c:lblOffset val="100"/>
      </c:catAx>
      <c:valAx>
        <c:axId val="64829312"/>
        <c:scaling>
          <c:orientation val="minMax"/>
        </c:scaling>
        <c:axPos val="l"/>
        <c:majorGridlines/>
        <c:numFmt formatCode="General" sourceLinked="1"/>
        <c:tickLblPos val="nextTo"/>
        <c:crossAx val="648277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Gain</c:v>
          </c:tx>
          <c:marker>
            <c:symbol val="none"/>
          </c:marker>
          <c:cat>
            <c:numRef>
              <c:f>Sheet3!$A$8:$A$28</c:f>
              <c:numCache>
                <c:formatCode>General</c:formatCode>
                <c:ptCount val="21"/>
                <c:pt idx="0">
                  <c:v>0.44</c:v>
                </c:pt>
                <c:pt idx="1">
                  <c:v>0.44500000000000001</c:v>
                </c:pt>
                <c:pt idx="2">
                  <c:v>0.45</c:v>
                </c:pt>
                <c:pt idx="3">
                  <c:v>0.45500000000000002</c:v>
                </c:pt>
                <c:pt idx="4">
                  <c:v>0.46</c:v>
                </c:pt>
                <c:pt idx="5">
                  <c:v>0.46500000000000002</c:v>
                </c:pt>
                <c:pt idx="6">
                  <c:v>0.47</c:v>
                </c:pt>
                <c:pt idx="7">
                  <c:v>0.47499999999999998</c:v>
                </c:pt>
                <c:pt idx="8">
                  <c:v>0.48</c:v>
                </c:pt>
                <c:pt idx="9">
                  <c:v>0.48499999999999999</c:v>
                </c:pt>
                <c:pt idx="10">
                  <c:v>0.49</c:v>
                </c:pt>
                <c:pt idx="11">
                  <c:v>0.495</c:v>
                </c:pt>
                <c:pt idx="12">
                  <c:v>0.5</c:v>
                </c:pt>
                <c:pt idx="13">
                  <c:v>0.505</c:v>
                </c:pt>
                <c:pt idx="14">
                  <c:v>0.51</c:v>
                </c:pt>
                <c:pt idx="15">
                  <c:v>0.51500000000000001</c:v>
                </c:pt>
                <c:pt idx="16">
                  <c:v>0.52</c:v>
                </c:pt>
                <c:pt idx="17">
                  <c:v>0.52500000000000002</c:v>
                </c:pt>
                <c:pt idx="18">
                  <c:v>0.53</c:v>
                </c:pt>
                <c:pt idx="19">
                  <c:v>0.53500000000000003</c:v>
                </c:pt>
                <c:pt idx="20">
                  <c:v>0.54</c:v>
                </c:pt>
              </c:numCache>
            </c:numRef>
          </c:cat>
          <c:val>
            <c:numRef>
              <c:f>Sheet3!$G$8:$G$28</c:f>
              <c:numCache>
                <c:formatCode>General</c:formatCode>
                <c:ptCount val="21"/>
                <c:pt idx="0">
                  <c:v>0.84809523809523801</c:v>
                </c:pt>
                <c:pt idx="1">
                  <c:v>0.8571428571428571</c:v>
                </c:pt>
                <c:pt idx="2">
                  <c:v>0.87190476190476185</c:v>
                </c:pt>
                <c:pt idx="3">
                  <c:v>0.88142857142857145</c:v>
                </c:pt>
                <c:pt idx="4">
                  <c:v>0.89071428571428568</c:v>
                </c:pt>
                <c:pt idx="5">
                  <c:v>0.90023809523809528</c:v>
                </c:pt>
                <c:pt idx="6">
                  <c:v>0.90952380952380962</c:v>
                </c:pt>
                <c:pt idx="7">
                  <c:v>0.92333333333333334</c:v>
                </c:pt>
                <c:pt idx="8">
                  <c:v>0.93500000000000005</c:v>
                </c:pt>
                <c:pt idx="9">
                  <c:v>0.9480952380952381</c:v>
                </c:pt>
                <c:pt idx="10">
                  <c:v>0.95761904761904759</c:v>
                </c:pt>
                <c:pt idx="11">
                  <c:v>0.96690476190476193</c:v>
                </c:pt>
                <c:pt idx="12">
                  <c:v>0.97666666666666679</c:v>
                </c:pt>
                <c:pt idx="13">
                  <c:v>0.98619047619047628</c:v>
                </c:pt>
                <c:pt idx="14">
                  <c:v>0.99642857142857144</c:v>
                </c:pt>
                <c:pt idx="15">
                  <c:v>1.0111904761904762</c:v>
                </c:pt>
                <c:pt idx="16">
                  <c:v>1.0216666666666665</c:v>
                </c:pt>
                <c:pt idx="17">
                  <c:v>1.0335714285714286</c:v>
                </c:pt>
                <c:pt idx="18">
                  <c:v>1.0435714285714286</c:v>
                </c:pt>
                <c:pt idx="19">
                  <c:v>1.0535714285714286</c:v>
                </c:pt>
                <c:pt idx="20">
                  <c:v>1.0638095238095238</c:v>
                </c:pt>
              </c:numCache>
            </c:numRef>
          </c:val>
        </c:ser>
        <c:ser>
          <c:idx val="1"/>
          <c:order val="1"/>
          <c:tx>
            <c:v>Efficiency</c:v>
          </c:tx>
          <c:marker>
            <c:symbol val="none"/>
          </c:marker>
          <c:cat>
            <c:numRef>
              <c:f>Sheet3!$A$8:$A$28</c:f>
              <c:numCache>
                <c:formatCode>General</c:formatCode>
                <c:ptCount val="21"/>
                <c:pt idx="0">
                  <c:v>0.44</c:v>
                </c:pt>
                <c:pt idx="1">
                  <c:v>0.44500000000000001</c:v>
                </c:pt>
                <c:pt idx="2">
                  <c:v>0.45</c:v>
                </c:pt>
                <c:pt idx="3">
                  <c:v>0.45500000000000002</c:v>
                </c:pt>
                <c:pt idx="4">
                  <c:v>0.46</c:v>
                </c:pt>
                <c:pt idx="5">
                  <c:v>0.46500000000000002</c:v>
                </c:pt>
                <c:pt idx="6">
                  <c:v>0.47</c:v>
                </c:pt>
                <c:pt idx="7">
                  <c:v>0.47499999999999998</c:v>
                </c:pt>
                <c:pt idx="8">
                  <c:v>0.48</c:v>
                </c:pt>
                <c:pt idx="9">
                  <c:v>0.48499999999999999</c:v>
                </c:pt>
                <c:pt idx="10">
                  <c:v>0.49</c:v>
                </c:pt>
                <c:pt idx="11">
                  <c:v>0.495</c:v>
                </c:pt>
                <c:pt idx="12">
                  <c:v>0.5</c:v>
                </c:pt>
                <c:pt idx="13">
                  <c:v>0.505</c:v>
                </c:pt>
                <c:pt idx="14">
                  <c:v>0.51</c:v>
                </c:pt>
                <c:pt idx="15">
                  <c:v>0.51500000000000001</c:v>
                </c:pt>
                <c:pt idx="16">
                  <c:v>0.52</c:v>
                </c:pt>
                <c:pt idx="17">
                  <c:v>0.52500000000000002</c:v>
                </c:pt>
                <c:pt idx="18">
                  <c:v>0.53</c:v>
                </c:pt>
                <c:pt idx="19">
                  <c:v>0.53500000000000003</c:v>
                </c:pt>
                <c:pt idx="20">
                  <c:v>0.54</c:v>
                </c:pt>
              </c:numCache>
            </c:numRef>
          </c:cat>
          <c:val>
            <c:numRef>
              <c:f>Sheet3!$J$8:$J$28</c:f>
              <c:numCache>
                <c:formatCode>General</c:formatCode>
                <c:ptCount val="21"/>
                <c:pt idx="0">
                  <c:v>0.94749375771033795</c:v>
                </c:pt>
                <c:pt idx="1">
                  <c:v>0.95295918367346943</c:v>
                </c:pt>
                <c:pt idx="2">
                  <c:v>0.93848273231622725</c:v>
                </c:pt>
                <c:pt idx="3">
                  <c:v>0.93631943127962103</c:v>
                </c:pt>
                <c:pt idx="4">
                  <c:v>0.9385228571428571</c:v>
                </c:pt>
                <c:pt idx="5">
                  <c:v>0.94105711024135685</c:v>
                </c:pt>
                <c:pt idx="6">
                  <c:v>0.93924574829931973</c:v>
                </c:pt>
                <c:pt idx="7">
                  <c:v>0.942643043478261</c:v>
                </c:pt>
                <c:pt idx="8">
                  <c:v>0.94629957446808521</c:v>
                </c:pt>
                <c:pt idx="9">
                  <c:v>0.94472597402597391</c:v>
                </c:pt>
                <c:pt idx="10">
                  <c:v>0.94424339695392323</c:v>
                </c:pt>
                <c:pt idx="11">
                  <c:v>0.94372974300831436</c:v>
                </c:pt>
                <c:pt idx="12">
                  <c:v>0.94398443579766544</c:v>
                </c:pt>
                <c:pt idx="13">
                  <c:v>0.94433384223918571</c:v>
                </c:pt>
                <c:pt idx="14">
                  <c:v>0.9458607544141252</c:v>
                </c:pt>
                <c:pt idx="15">
                  <c:v>0.94223900966183582</c:v>
                </c:pt>
                <c:pt idx="16">
                  <c:v>0.94484169632265713</c:v>
                </c:pt>
                <c:pt idx="17">
                  <c:v>0.95696340543259562</c:v>
                </c:pt>
                <c:pt idx="18">
                  <c:v>0.95867743450321297</c:v>
                </c:pt>
                <c:pt idx="19">
                  <c:v>0.96054178814382896</c:v>
                </c:pt>
                <c:pt idx="20">
                  <c:v>0.95966257142857148</c:v>
                </c:pt>
              </c:numCache>
            </c:numRef>
          </c:val>
        </c:ser>
        <c:marker val="1"/>
        <c:axId val="64967424"/>
        <c:axId val="64968960"/>
      </c:lineChart>
      <c:catAx>
        <c:axId val="64967424"/>
        <c:scaling>
          <c:orientation val="minMax"/>
        </c:scaling>
        <c:axPos val="b"/>
        <c:numFmt formatCode="General" sourceLinked="1"/>
        <c:tickLblPos val="nextTo"/>
        <c:crossAx val="64968960"/>
        <c:crosses val="autoZero"/>
        <c:auto val="1"/>
        <c:lblAlgn val="ctr"/>
        <c:lblOffset val="100"/>
      </c:catAx>
      <c:valAx>
        <c:axId val="64968960"/>
        <c:scaling>
          <c:orientation val="minMax"/>
        </c:scaling>
        <c:axPos val="l"/>
        <c:majorGridlines/>
        <c:numFmt formatCode="General" sourceLinked="1"/>
        <c:tickLblPos val="nextTo"/>
        <c:crossAx val="649674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17</xdr:row>
      <xdr:rowOff>38099</xdr:rowOff>
    </xdr:from>
    <xdr:to>
      <xdr:col>8</xdr:col>
      <xdr:colOff>638174</xdr:colOff>
      <xdr:row>35</xdr:row>
      <xdr:rowOff>161924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30</xdr:row>
      <xdr:rowOff>123824</xdr:rowOff>
    </xdr:from>
    <xdr:to>
      <xdr:col>11</xdr:col>
      <xdr:colOff>1543051</xdr:colOff>
      <xdr:row>57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26"/>
  <sheetViews>
    <sheetView workbookViewId="0">
      <selection activeCell="A5" sqref="A5"/>
    </sheetView>
  </sheetViews>
  <sheetFormatPr defaultRowHeight="15"/>
  <cols>
    <col min="6" max="6" width="28.28515625" customWidth="1"/>
    <col min="7" max="7" width="6.85546875" customWidth="1"/>
    <col min="9" max="9" width="31.28515625" customWidth="1"/>
    <col min="10" max="10" width="5.5703125" customWidth="1"/>
  </cols>
  <sheetData>
    <row r="3" spans="1:10">
      <c r="A3" t="s">
        <v>9</v>
      </c>
      <c r="B3" t="s">
        <v>10</v>
      </c>
      <c r="C3" t="s">
        <v>11</v>
      </c>
      <c r="D3" t="s">
        <v>0</v>
      </c>
    </row>
    <row r="4" spans="1:10">
      <c r="A4">
        <v>0.43</v>
      </c>
      <c r="B4">
        <v>42</v>
      </c>
      <c r="C4">
        <v>34.950000000000003</v>
      </c>
      <c r="D4">
        <f>C4/B4</f>
        <v>0.83214285714285718</v>
      </c>
    </row>
    <row r="5" spans="1:10">
      <c r="A5">
        <v>0.44</v>
      </c>
      <c r="B5">
        <v>42</v>
      </c>
      <c r="C5">
        <v>35.58</v>
      </c>
      <c r="D5">
        <f t="shared" ref="D5:D16" si="0">C5/B5</f>
        <v>0.84714285714285709</v>
      </c>
    </row>
    <row r="6" spans="1:10">
      <c r="A6">
        <v>0.45</v>
      </c>
      <c r="B6">
        <v>42</v>
      </c>
      <c r="C6">
        <v>36.909999999999997</v>
      </c>
      <c r="D6" s="3">
        <f t="shared" si="0"/>
        <v>0.87880952380952371</v>
      </c>
    </row>
    <row r="7" spans="1:10">
      <c r="A7">
        <v>0.46</v>
      </c>
      <c r="B7">
        <v>42</v>
      </c>
      <c r="C7">
        <v>37.630000000000003</v>
      </c>
      <c r="D7" s="3">
        <f t="shared" si="0"/>
        <v>0.89595238095238106</v>
      </c>
    </row>
    <row r="8" spans="1:10">
      <c r="A8">
        <v>0.47</v>
      </c>
      <c r="B8">
        <v>42</v>
      </c>
      <c r="C8">
        <v>38.700000000000003</v>
      </c>
      <c r="D8" s="3">
        <f t="shared" si="0"/>
        <v>0.92142857142857149</v>
      </c>
      <c r="F8" t="s">
        <v>4</v>
      </c>
      <c r="G8">
        <v>0.9</v>
      </c>
    </row>
    <row r="9" spans="1:10">
      <c r="A9">
        <v>0.48</v>
      </c>
      <c r="B9">
        <v>42</v>
      </c>
      <c r="C9">
        <v>39.74</v>
      </c>
      <c r="D9" s="1">
        <f t="shared" si="0"/>
        <v>0.94619047619047625</v>
      </c>
      <c r="F9" t="s">
        <v>5</v>
      </c>
      <c r="G9">
        <v>0.95</v>
      </c>
      <c r="I9" t="s">
        <v>7</v>
      </c>
      <c r="J9">
        <v>7.0000000000000007E-2</v>
      </c>
    </row>
    <row r="10" spans="1:10">
      <c r="A10">
        <v>0.49</v>
      </c>
      <c r="B10">
        <v>42</v>
      </c>
      <c r="C10">
        <v>40.799999999999997</v>
      </c>
      <c r="D10" s="1">
        <f t="shared" si="0"/>
        <v>0.97142857142857131</v>
      </c>
      <c r="F10" t="s">
        <v>6</v>
      </c>
      <c r="G10">
        <v>1.05</v>
      </c>
      <c r="I10" t="s">
        <v>8</v>
      </c>
      <c r="J10">
        <v>0.92</v>
      </c>
    </row>
    <row r="11" spans="1:10">
      <c r="A11">
        <v>0.5</v>
      </c>
      <c r="B11">
        <v>42</v>
      </c>
      <c r="C11">
        <v>41.54</v>
      </c>
      <c r="D11" s="1">
        <f t="shared" si="0"/>
        <v>0.98904761904761906</v>
      </c>
    </row>
    <row r="12" spans="1:10">
      <c r="A12">
        <v>0.51</v>
      </c>
      <c r="B12" s="2">
        <v>42</v>
      </c>
      <c r="C12">
        <v>42.3</v>
      </c>
      <c r="D12" s="1">
        <f t="shared" si="0"/>
        <v>1.0071428571428571</v>
      </c>
      <c r="F12" t="s">
        <v>1</v>
      </c>
      <c r="G12">
        <v>0.03</v>
      </c>
    </row>
    <row r="13" spans="1:10">
      <c r="A13">
        <v>0.52</v>
      </c>
      <c r="B13" s="2">
        <v>42</v>
      </c>
      <c r="C13">
        <v>43.08</v>
      </c>
      <c r="D13" s="1">
        <f t="shared" si="0"/>
        <v>1.0257142857142856</v>
      </c>
      <c r="F13" t="s">
        <v>2</v>
      </c>
      <c r="G13">
        <v>0.87</v>
      </c>
    </row>
    <row r="14" spans="1:10">
      <c r="A14">
        <v>0.53</v>
      </c>
      <c r="B14" s="2">
        <v>42</v>
      </c>
      <c r="C14">
        <v>44.53</v>
      </c>
      <c r="D14">
        <f t="shared" si="0"/>
        <v>1.0602380952380952</v>
      </c>
      <c r="F14" t="s">
        <v>3</v>
      </c>
      <c r="G14">
        <v>0.96</v>
      </c>
    </row>
    <row r="15" spans="1:10">
      <c r="A15">
        <v>0.54</v>
      </c>
      <c r="B15" s="2">
        <v>42</v>
      </c>
      <c r="C15">
        <v>45.73</v>
      </c>
      <c r="D15">
        <f t="shared" si="0"/>
        <v>1.0888095238095237</v>
      </c>
    </row>
    <row r="16" spans="1:10">
      <c r="A16">
        <v>0.55000000000000004</v>
      </c>
      <c r="B16" s="2">
        <v>42</v>
      </c>
      <c r="C16">
        <v>46.56</v>
      </c>
      <c r="D16">
        <f t="shared" si="0"/>
        <v>1.1085714285714285</v>
      </c>
    </row>
    <row r="17" spans="2:4">
      <c r="B17" s="2"/>
    </row>
    <row r="18" spans="2:4">
      <c r="B18" s="2"/>
    </row>
    <row r="19" spans="2:4">
      <c r="B19" s="2"/>
    </row>
    <row r="20" spans="2:4">
      <c r="B20" s="2"/>
    </row>
    <row r="21" spans="2:4">
      <c r="B21" s="2"/>
    </row>
    <row r="22" spans="2:4">
      <c r="B22" s="2"/>
      <c r="C22" s="2"/>
      <c r="D22" s="2"/>
    </row>
    <row r="23" spans="2:4">
      <c r="B23" s="2"/>
      <c r="C23" s="2"/>
      <c r="D23" s="2"/>
    </row>
    <row r="24" spans="2:4">
      <c r="B24" s="2"/>
      <c r="C24" s="2"/>
      <c r="D24" s="2"/>
    </row>
    <row r="25" spans="2:4">
      <c r="B25" s="2"/>
      <c r="C25" s="2"/>
      <c r="D25" s="2"/>
    </row>
    <row r="26" spans="2:4">
      <c r="B26" s="2"/>
      <c r="C26" s="2"/>
      <c r="D26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>
      <selection activeCell="N22" sqref="N22"/>
    </sheetView>
  </sheetViews>
  <sheetFormatPr defaultRowHeight="15"/>
  <cols>
    <col min="10" max="10" width="14.140625" customWidth="1"/>
    <col min="11" max="11" width="5.28515625" customWidth="1"/>
    <col min="12" max="12" width="30.140625" customWidth="1"/>
    <col min="14" max="14" width="32.28515625" customWidth="1"/>
    <col min="17" max="17" width="31.5703125" customWidth="1"/>
  </cols>
  <sheetData>
    <row r="1" spans="1:13" ht="23.25">
      <c r="A1" s="8" t="s">
        <v>19</v>
      </c>
    </row>
    <row r="2" spans="1:13" ht="15.75">
      <c r="A2" s="9" t="s">
        <v>12</v>
      </c>
    </row>
    <row r="3" spans="1:13" ht="15.75" thickBot="1"/>
    <row r="4" spans="1:13" ht="19.5" thickBot="1">
      <c r="A4" s="10" t="s">
        <v>9</v>
      </c>
      <c r="B4" s="10" t="s">
        <v>15</v>
      </c>
      <c r="C4" s="10" t="s">
        <v>10</v>
      </c>
      <c r="D4" s="10" t="s">
        <v>13</v>
      </c>
      <c r="E4" s="16" t="s">
        <v>11</v>
      </c>
      <c r="F4" s="10" t="s">
        <v>14</v>
      </c>
      <c r="G4" s="10" t="s">
        <v>0</v>
      </c>
      <c r="H4" s="10" t="s">
        <v>17</v>
      </c>
      <c r="I4" s="10" t="s">
        <v>18</v>
      </c>
      <c r="J4" s="19" t="s">
        <v>16</v>
      </c>
      <c r="K4" s="20"/>
    </row>
    <row r="5" spans="1:13">
      <c r="A5" s="15">
        <v>0.2</v>
      </c>
      <c r="B5" s="15">
        <f>A5*2</f>
        <v>0.4</v>
      </c>
      <c r="C5" s="15">
        <v>42</v>
      </c>
      <c r="D5" s="15">
        <v>0.44</v>
      </c>
      <c r="E5" s="15">
        <v>15.88</v>
      </c>
      <c r="F5" s="15">
        <v>0.96140000000000003</v>
      </c>
      <c r="G5" s="15">
        <f>E5/C5</f>
        <v>0.3780952380952381</v>
      </c>
      <c r="H5" s="15">
        <f>C5*D5</f>
        <v>18.48</v>
      </c>
      <c r="I5" s="15">
        <f>E5*F5</f>
        <v>15.267032</v>
      </c>
      <c r="J5" s="15">
        <f>I5/H5</f>
        <v>0.82613809523809523</v>
      </c>
      <c r="K5" s="21"/>
    </row>
    <row r="6" spans="1:13">
      <c r="A6" s="11">
        <v>0.4</v>
      </c>
      <c r="B6" s="11">
        <f t="shared" ref="B6:B29" si="0">A6*2</f>
        <v>0.8</v>
      </c>
      <c r="C6" s="11">
        <v>42</v>
      </c>
      <c r="D6" s="11">
        <v>1.6</v>
      </c>
      <c r="E6" s="11">
        <v>32.28</v>
      </c>
      <c r="F6" s="11">
        <v>1.9535</v>
      </c>
      <c r="G6" s="15">
        <f t="shared" ref="G6:G29" si="1">E6/C6</f>
        <v>0.76857142857142857</v>
      </c>
      <c r="H6" s="11">
        <f t="shared" ref="H6:H29" si="2">C6*D6</f>
        <v>67.2</v>
      </c>
      <c r="I6" s="11">
        <f t="shared" ref="I6:I29" si="3">E6*F6</f>
        <v>63.058980000000005</v>
      </c>
      <c r="J6" s="11">
        <f t="shared" ref="J6:J29" si="4">I6/H6</f>
        <v>0.93837767857142862</v>
      </c>
      <c r="K6" s="21"/>
    </row>
    <row r="7" spans="1:13">
      <c r="A7" s="11">
        <v>0.42</v>
      </c>
      <c r="B7" s="11">
        <f t="shared" si="0"/>
        <v>0.84</v>
      </c>
      <c r="C7" s="11">
        <v>42</v>
      </c>
      <c r="D7" s="11">
        <v>1.75</v>
      </c>
      <c r="E7" s="11">
        <v>33.950000000000003</v>
      </c>
      <c r="F7" s="11">
        <v>2.0550000000000002</v>
      </c>
      <c r="G7" s="15">
        <f t="shared" si="1"/>
        <v>0.80833333333333335</v>
      </c>
      <c r="H7" s="11">
        <f t="shared" si="2"/>
        <v>73.5</v>
      </c>
      <c r="I7" s="11">
        <f t="shared" si="3"/>
        <v>69.767250000000004</v>
      </c>
      <c r="J7" s="11">
        <f t="shared" si="4"/>
        <v>0.94921428571428579</v>
      </c>
      <c r="K7" s="21"/>
      <c r="L7" s="5" t="s">
        <v>4</v>
      </c>
      <c r="M7" s="5">
        <v>0.9</v>
      </c>
    </row>
    <row r="8" spans="1:13">
      <c r="A8" s="11">
        <v>0.44</v>
      </c>
      <c r="B8" s="11">
        <f t="shared" si="0"/>
        <v>0.88</v>
      </c>
      <c r="C8" s="11">
        <v>42</v>
      </c>
      <c r="D8" s="11">
        <v>1.93</v>
      </c>
      <c r="E8" s="11">
        <v>35.619999999999997</v>
      </c>
      <c r="F8" s="11">
        <v>2.1562000000000001</v>
      </c>
      <c r="G8" s="15">
        <f t="shared" si="1"/>
        <v>0.84809523809523801</v>
      </c>
      <c r="H8" s="11">
        <f t="shared" si="2"/>
        <v>81.06</v>
      </c>
      <c r="I8" s="11">
        <f t="shared" si="3"/>
        <v>76.803843999999998</v>
      </c>
      <c r="J8" s="11">
        <f t="shared" si="4"/>
        <v>0.94749375771033795</v>
      </c>
      <c r="K8" s="21"/>
    </row>
    <row r="9" spans="1:13">
      <c r="A9" s="11">
        <v>0.44500000000000001</v>
      </c>
      <c r="B9" s="11">
        <f t="shared" si="0"/>
        <v>0.89</v>
      </c>
      <c r="C9" s="11">
        <v>42</v>
      </c>
      <c r="D9" s="11">
        <v>1.96</v>
      </c>
      <c r="E9" s="11">
        <v>36</v>
      </c>
      <c r="F9" s="11">
        <v>2.1791</v>
      </c>
      <c r="G9" s="15">
        <f t="shared" si="1"/>
        <v>0.8571428571428571</v>
      </c>
      <c r="H9" s="11">
        <f t="shared" si="2"/>
        <v>82.32</v>
      </c>
      <c r="I9" s="11">
        <f t="shared" si="3"/>
        <v>78.447599999999994</v>
      </c>
      <c r="J9" s="11">
        <f t="shared" si="4"/>
        <v>0.95295918367346943</v>
      </c>
      <c r="K9" s="21"/>
      <c r="L9" s="4" t="s">
        <v>5</v>
      </c>
      <c r="M9" s="4">
        <v>0.95</v>
      </c>
    </row>
    <row r="10" spans="1:13">
      <c r="A10" s="12">
        <v>0.45</v>
      </c>
      <c r="B10" s="12">
        <f t="shared" si="0"/>
        <v>0.9</v>
      </c>
      <c r="C10" s="12">
        <v>42</v>
      </c>
      <c r="D10" s="12">
        <v>2.06</v>
      </c>
      <c r="E10" s="12">
        <v>36.619999999999997</v>
      </c>
      <c r="F10" s="12">
        <v>2.2172999999999998</v>
      </c>
      <c r="G10" s="17">
        <f t="shared" si="1"/>
        <v>0.87190476190476185</v>
      </c>
      <c r="H10" s="12">
        <f t="shared" si="2"/>
        <v>86.52</v>
      </c>
      <c r="I10" s="12">
        <f t="shared" si="3"/>
        <v>81.197525999999982</v>
      </c>
      <c r="J10" s="12">
        <f t="shared" si="4"/>
        <v>0.93848273231622725</v>
      </c>
      <c r="K10" s="21"/>
      <c r="L10" s="4" t="s">
        <v>7</v>
      </c>
      <c r="M10" s="4">
        <v>7.0000000000000007E-2</v>
      </c>
    </row>
    <row r="11" spans="1:13">
      <c r="A11" s="12">
        <v>0.45500000000000002</v>
      </c>
      <c r="B11" s="12">
        <f t="shared" si="0"/>
        <v>0.91</v>
      </c>
      <c r="C11" s="12">
        <v>42</v>
      </c>
      <c r="D11" s="12">
        <v>2.11</v>
      </c>
      <c r="E11" s="12">
        <v>37.020000000000003</v>
      </c>
      <c r="F11" s="12">
        <v>2.2414000000000001</v>
      </c>
      <c r="G11" s="17">
        <f t="shared" si="1"/>
        <v>0.88142857142857145</v>
      </c>
      <c r="H11" s="12">
        <f t="shared" si="2"/>
        <v>88.61999999999999</v>
      </c>
      <c r="I11" s="12">
        <f t="shared" si="3"/>
        <v>82.976628000000005</v>
      </c>
      <c r="J11" s="12">
        <f t="shared" si="4"/>
        <v>0.93631943127962103</v>
      </c>
      <c r="K11" s="21"/>
      <c r="L11" s="4" t="s">
        <v>1</v>
      </c>
      <c r="M11" s="4">
        <v>4.1000000000000002E-2</v>
      </c>
    </row>
    <row r="12" spans="1:13">
      <c r="A12" s="12">
        <v>0.46</v>
      </c>
      <c r="B12" s="12">
        <f t="shared" si="0"/>
        <v>0.92</v>
      </c>
      <c r="C12" s="12">
        <v>42</v>
      </c>
      <c r="D12" s="12">
        <v>2.15</v>
      </c>
      <c r="E12" s="12">
        <v>37.409999999999997</v>
      </c>
      <c r="F12" s="12">
        <v>2.2654000000000001</v>
      </c>
      <c r="G12" s="17">
        <f t="shared" si="1"/>
        <v>0.89071428571428568</v>
      </c>
      <c r="H12" s="12">
        <f t="shared" si="2"/>
        <v>90.3</v>
      </c>
      <c r="I12" s="12">
        <f t="shared" si="3"/>
        <v>84.748613999999989</v>
      </c>
      <c r="J12" s="12">
        <f t="shared" si="4"/>
        <v>0.9385228571428571</v>
      </c>
      <c r="K12" s="21"/>
    </row>
    <row r="13" spans="1:13">
      <c r="A13" s="12">
        <v>0.46500000000000002</v>
      </c>
      <c r="B13" s="12">
        <f t="shared" si="0"/>
        <v>0.93</v>
      </c>
      <c r="C13" s="12">
        <v>42</v>
      </c>
      <c r="D13" s="12">
        <v>2.19</v>
      </c>
      <c r="E13" s="12">
        <v>37.81</v>
      </c>
      <c r="F13" s="12">
        <v>2.2892999999999999</v>
      </c>
      <c r="G13" s="17">
        <f t="shared" si="1"/>
        <v>0.90023809523809528</v>
      </c>
      <c r="H13" s="12">
        <f t="shared" si="2"/>
        <v>91.98</v>
      </c>
      <c r="I13" s="12">
        <f t="shared" si="3"/>
        <v>86.558433000000008</v>
      </c>
      <c r="J13" s="12">
        <f t="shared" si="4"/>
        <v>0.94105711024135685</v>
      </c>
      <c r="K13" s="21"/>
      <c r="L13" s="6" t="s">
        <v>6</v>
      </c>
      <c r="M13" s="6">
        <v>1.05</v>
      </c>
    </row>
    <row r="14" spans="1:13">
      <c r="A14" s="12">
        <v>0.47</v>
      </c>
      <c r="B14" s="12">
        <f t="shared" si="0"/>
        <v>0.94</v>
      </c>
      <c r="C14" s="12">
        <v>42</v>
      </c>
      <c r="D14" s="12">
        <v>2.2400000000000002</v>
      </c>
      <c r="E14" s="12">
        <v>38.200000000000003</v>
      </c>
      <c r="F14" s="12">
        <v>2.3132000000000001</v>
      </c>
      <c r="G14" s="17">
        <f t="shared" si="1"/>
        <v>0.90952380952380962</v>
      </c>
      <c r="H14" s="12">
        <f t="shared" si="2"/>
        <v>94.080000000000013</v>
      </c>
      <c r="I14" s="12">
        <f t="shared" si="3"/>
        <v>88.364240000000009</v>
      </c>
      <c r="J14" s="12">
        <f t="shared" si="4"/>
        <v>0.93924574829931973</v>
      </c>
      <c r="K14" s="21"/>
      <c r="L14" s="6" t="s">
        <v>8</v>
      </c>
      <c r="M14" s="6">
        <v>0.90700000000000003</v>
      </c>
    </row>
    <row r="15" spans="1:13">
      <c r="A15" s="12">
        <v>0.47499999999999998</v>
      </c>
      <c r="B15" s="12">
        <f t="shared" si="0"/>
        <v>0.95</v>
      </c>
      <c r="C15" s="12">
        <v>42</v>
      </c>
      <c r="D15" s="12">
        <v>2.2999999999999998</v>
      </c>
      <c r="E15" s="12">
        <v>38.78</v>
      </c>
      <c r="F15" s="12">
        <v>2.3481000000000001</v>
      </c>
      <c r="G15" s="17">
        <f t="shared" si="1"/>
        <v>0.92333333333333334</v>
      </c>
      <c r="H15" s="12">
        <f t="shared" si="2"/>
        <v>96.6</v>
      </c>
      <c r="I15" s="12">
        <f t="shared" si="3"/>
        <v>91.059318000000005</v>
      </c>
      <c r="J15" s="12">
        <f t="shared" si="4"/>
        <v>0.942643043478261</v>
      </c>
      <c r="K15" s="21"/>
      <c r="L15" s="6" t="s">
        <v>2</v>
      </c>
      <c r="M15" s="6">
        <v>0.87</v>
      </c>
    </row>
    <row r="16" spans="1:13">
      <c r="A16" s="13">
        <v>0.48</v>
      </c>
      <c r="B16" s="13">
        <f t="shared" si="0"/>
        <v>0.96</v>
      </c>
      <c r="C16" s="13">
        <v>42</v>
      </c>
      <c r="D16" s="13">
        <v>2.35</v>
      </c>
      <c r="E16" s="13">
        <v>39.270000000000003</v>
      </c>
      <c r="F16" s="13">
        <v>2.3784000000000001</v>
      </c>
      <c r="G16" s="22">
        <f t="shared" si="1"/>
        <v>0.93500000000000005</v>
      </c>
      <c r="H16" s="13">
        <f t="shared" si="2"/>
        <v>98.7</v>
      </c>
      <c r="I16" s="13">
        <f t="shared" si="3"/>
        <v>93.399768000000009</v>
      </c>
      <c r="J16" s="13">
        <f t="shared" si="4"/>
        <v>0.94629957446808521</v>
      </c>
      <c r="K16" s="21"/>
    </row>
    <row r="17" spans="1:13">
      <c r="A17" s="13">
        <v>0.48499999999999999</v>
      </c>
      <c r="B17" s="13">
        <f t="shared" si="0"/>
        <v>0.97</v>
      </c>
      <c r="C17" s="13">
        <v>42</v>
      </c>
      <c r="D17" s="13">
        <v>2.42</v>
      </c>
      <c r="E17" s="13">
        <v>39.82</v>
      </c>
      <c r="F17" s="13">
        <v>2.4114</v>
      </c>
      <c r="G17" s="22">
        <f t="shared" si="1"/>
        <v>0.9480952380952381</v>
      </c>
      <c r="H17" s="13">
        <f t="shared" si="2"/>
        <v>101.64</v>
      </c>
      <c r="I17" s="13">
        <f t="shared" si="3"/>
        <v>96.021947999999995</v>
      </c>
      <c r="J17" s="13">
        <f t="shared" si="4"/>
        <v>0.94472597402597391</v>
      </c>
      <c r="K17" s="21"/>
      <c r="L17" s="7" t="s">
        <v>3</v>
      </c>
      <c r="M17" s="7">
        <v>0.98199999999999998</v>
      </c>
    </row>
    <row r="18" spans="1:13">
      <c r="A18" s="13">
        <v>0.49</v>
      </c>
      <c r="B18" s="13">
        <f t="shared" si="0"/>
        <v>0.98</v>
      </c>
      <c r="C18" s="13">
        <v>42</v>
      </c>
      <c r="D18" s="13">
        <v>2.4700000000000002</v>
      </c>
      <c r="E18" s="13">
        <v>40.22</v>
      </c>
      <c r="F18" s="13">
        <v>2.4355000000000002</v>
      </c>
      <c r="G18" s="22">
        <f t="shared" si="1"/>
        <v>0.95761904761904759</v>
      </c>
      <c r="H18" s="13">
        <f t="shared" si="2"/>
        <v>103.74000000000001</v>
      </c>
      <c r="I18" s="13">
        <f t="shared" si="3"/>
        <v>97.95581</v>
      </c>
      <c r="J18" s="13">
        <f t="shared" si="4"/>
        <v>0.94424339695392323</v>
      </c>
      <c r="K18" s="21"/>
    </row>
    <row r="19" spans="1:13">
      <c r="A19" s="13">
        <v>0.495</v>
      </c>
      <c r="B19" s="13">
        <f t="shared" si="0"/>
        <v>0.99</v>
      </c>
      <c r="C19" s="13">
        <v>42</v>
      </c>
      <c r="D19" s="13">
        <v>2.52</v>
      </c>
      <c r="E19" s="13">
        <v>40.61</v>
      </c>
      <c r="F19" s="13">
        <v>2.4596</v>
      </c>
      <c r="G19" s="22">
        <f t="shared" si="1"/>
        <v>0.96690476190476193</v>
      </c>
      <c r="H19" s="13">
        <f t="shared" si="2"/>
        <v>105.84</v>
      </c>
      <c r="I19" s="13">
        <f t="shared" si="3"/>
        <v>99.884355999999997</v>
      </c>
      <c r="J19" s="13">
        <f t="shared" si="4"/>
        <v>0.94372974300831436</v>
      </c>
      <c r="K19" s="21"/>
    </row>
    <row r="20" spans="1:13">
      <c r="A20" s="13">
        <v>0.5</v>
      </c>
      <c r="B20" s="13">
        <f t="shared" si="0"/>
        <v>1</v>
      </c>
      <c r="C20" s="13">
        <v>42</v>
      </c>
      <c r="D20" s="13">
        <v>2.57</v>
      </c>
      <c r="E20" s="13">
        <v>41.02</v>
      </c>
      <c r="F20" s="13">
        <v>2.484</v>
      </c>
      <c r="G20" s="22">
        <f t="shared" si="1"/>
        <v>0.97666666666666679</v>
      </c>
      <c r="H20" s="13">
        <f t="shared" si="2"/>
        <v>107.94</v>
      </c>
      <c r="I20" s="13">
        <f t="shared" si="3"/>
        <v>101.89368</v>
      </c>
      <c r="J20" s="13">
        <f t="shared" si="4"/>
        <v>0.94398443579766544</v>
      </c>
      <c r="K20" s="21"/>
    </row>
    <row r="21" spans="1:13" ht="18.75" customHeight="1">
      <c r="A21" s="13">
        <v>0.505</v>
      </c>
      <c r="B21" s="13">
        <f t="shared" si="0"/>
        <v>1.01</v>
      </c>
      <c r="C21" s="13">
        <v>42</v>
      </c>
      <c r="D21" s="13">
        <v>2.62</v>
      </c>
      <c r="E21" s="13">
        <v>41.42</v>
      </c>
      <c r="F21" s="13">
        <v>2.5087999999999999</v>
      </c>
      <c r="G21" s="22">
        <f t="shared" si="1"/>
        <v>0.98619047619047628</v>
      </c>
      <c r="H21" s="13">
        <f t="shared" si="2"/>
        <v>110.04</v>
      </c>
      <c r="I21" s="13">
        <f t="shared" si="3"/>
        <v>103.914496</v>
      </c>
      <c r="J21" s="13">
        <f t="shared" si="4"/>
        <v>0.94433384223918571</v>
      </c>
      <c r="K21" s="21"/>
      <c r="L21" s="23" t="s">
        <v>20</v>
      </c>
    </row>
    <row r="22" spans="1:13">
      <c r="A22" s="13">
        <v>0.51</v>
      </c>
      <c r="B22" s="13">
        <f t="shared" si="0"/>
        <v>1.02</v>
      </c>
      <c r="C22" s="13">
        <v>42</v>
      </c>
      <c r="D22" s="13">
        <v>2.67</v>
      </c>
      <c r="E22" s="13">
        <v>41.85</v>
      </c>
      <c r="F22" s="13">
        <v>2.5345</v>
      </c>
      <c r="G22" s="22">
        <f t="shared" si="1"/>
        <v>0.99642857142857144</v>
      </c>
      <c r="H22" s="13">
        <f t="shared" si="2"/>
        <v>112.14</v>
      </c>
      <c r="I22" s="13">
        <f t="shared" si="3"/>
        <v>106.068825</v>
      </c>
      <c r="J22" s="13">
        <f t="shared" si="4"/>
        <v>0.9458607544141252</v>
      </c>
      <c r="K22" s="21"/>
      <c r="L22" s="23"/>
    </row>
    <row r="23" spans="1:13">
      <c r="A23" s="13">
        <v>0.51500000000000001</v>
      </c>
      <c r="B23" s="13">
        <f t="shared" si="0"/>
        <v>1.03</v>
      </c>
      <c r="C23" s="13">
        <v>42</v>
      </c>
      <c r="D23" s="13">
        <v>2.76</v>
      </c>
      <c r="E23" s="13">
        <v>42.47</v>
      </c>
      <c r="F23" s="13">
        <v>2.5718000000000001</v>
      </c>
      <c r="G23" s="22">
        <f t="shared" si="1"/>
        <v>1.0111904761904762</v>
      </c>
      <c r="H23" s="13">
        <f t="shared" si="2"/>
        <v>115.91999999999999</v>
      </c>
      <c r="I23" s="13">
        <f t="shared" si="3"/>
        <v>109.224346</v>
      </c>
      <c r="J23" s="13">
        <f t="shared" si="4"/>
        <v>0.94223900966183582</v>
      </c>
      <c r="K23" s="21"/>
      <c r="L23" s="23"/>
    </row>
    <row r="24" spans="1:13">
      <c r="A24" s="13">
        <v>0.52</v>
      </c>
      <c r="B24" s="13">
        <f t="shared" si="0"/>
        <v>1.04</v>
      </c>
      <c r="C24" s="13">
        <v>42</v>
      </c>
      <c r="D24" s="13">
        <v>2.81</v>
      </c>
      <c r="E24" s="13">
        <v>42.91</v>
      </c>
      <c r="F24" s="13">
        <v>2.5987</v>
      </c>
      <c r="G24" s="22">
        <f t="shared" si="1"/>
        <v>1.0216666666666665</v>
      </c>
      <c r="H24" s="13">
        <f t="shared" si="2"/>
        <v>118.02</v>
      </c>
      <c r="I24" s="13">
        <f t="shared" si="3"/>
        <v>111.510217</v>
      </c>
      <c r="J24" s="13">
        <f t="shared" si="4"/>
        <v>0.94484169632265713</v>
      </c>
      <c r="K24" s="21"/>
      <c r="L24" s="23"/>
    </row>
    <row r="25" spans="1:13">
      <c r="A25" s="14">
        <v>0.52500000000000002</v>
      </c>
      <c r="B25" s="14">
        <f t="shared" si="0"/>
        <v>1.05</v>
      </c>
      <c r="C25" s="14">
        <v>42</v>
      </c>
      <c r="D25" s="14">
        <v>2.84</v>
      </c>
      <c r="E25" s="14">
        <v>43.41</v>
      </c>
      <c r="F25" s="14">
        <v>2.6295000000000002</v>
      </c>
      <c r="G25" s="18">
        <f t="shared" si="1"/>
        <v>1.0335714285714286</v>
      </c>
      <c r="H25" s="14">
        <f t="shared" si="2"/>
        <v>119.28</v>
      </c>
      <c r="I25" s="14">
        <f t="shared" si="3"/>
        <v>114.146595</v>
      </c>
      <c r="J25" s="14">
        <f t="shared" si="4"/>
        <v>0.95696340543259562</v>
      </c>
      <c r="K25" s="21"/>
      <c r="L25" s="23"/>
    </row>
    <row r="26" spans="1:13">
      <c r="A26" s="14">
        <v>0.53</v>
      </c>
      <c r="B26" s="14">
        <f t="shared" si="0"/>
        <v>1.06</v>
      </c>
      <c r="C26" s="14">
        <v>42</v>
      </c>
      <c r="D26" s="14">
        <v>2.89</v>
      </c>
      <c r="E26" s="14">
        <v>43.83</v>
      </c>
      <c r="F26" s="14">
        <v>2.6549</v>
      </c>
      <c r="G26" s="18">
        <f t="shared" si="1"/>
        <v>1.0435714285714286</v>
      </c>
      <c r="H26" s="14">
        <f t="shared" si="2"/>
        <v>121.38000000000001</v>
      </c>
      <c r="I26" s="14">
        <f t="shared" si="3"/>
        <v>116.364267</v>
      </c>
      <c r="J26" s="14">
        <f t="shared" si="4"/>
        <v>0.95867743450321297</v>
      </c>
      <c r="K26" s="21"/>
      <c r="L26" s="23"/>
    </row>
    <row r="27" spans="1:13">
      <c r="A27" s="14">
        <v>0.53500000000000003</v>
      </c>
      <c r="B27" s="14">
        <f t="shared" si="0"/>
        <v>1.07</v>
      </c>
      <c r="C27" s="14">
        <v>42</v>
      </c>
      <c r="D27" s="14">
        <v>2.94</v>
      </c>
      <c r="E27" s="14">
        <v>44.25</v>
      </c>
      <c r="F27" s="14">
        <v>2.6804000000000001</v>
      </c>
      <c r="G27" s="18">
        <f t="shared" si="1"/>
        <v>1.0535714285714286</v>
      </c>
      <c r="H27" s="14">
        <f t="shared" si="2"/>
        <v>123.48</v>
      </c>
      <c r="I27" s="14">
        <f t="shared" si="3"/>
        <v>118.60770000000001</v>
      </c>
      <c r="J27" s="14">
        <f t="shared" si="4"/>
        <v>0.96054178814382896</v>
      </c>
      <c r="K27" s="21"/>
    </row>
    <row r="28" spans="1:13">
      <c r="A28" s="14">
        <v>0.54</v>
      </c>
      <c r="B28" s="14">
        <f t="shared" si="0"/>
        <v>1.08</v>
      </c>
      <c r="C28" s="14">
        <v>42</v>
      </c>
      <c r="D28" s="14">
        <v>3</v>
      </c>
      <c r="E28" s="14">
        <v>44.68</v>
      </c>
      <c r="F28" s="14">
        <v>2.7063000000000001</v>
      </c>
      <c r="G28" s="18">
        <f t="shared" si="1"/>
        <v>1.0638095238095238</v>
      </c>
      <c r="H28" s="14">
        <f t="shared" si="2"/>
        <v>126</v>
      </c>
      <c r="I28" s="14">
        <f t="shared" si="3"/>
        <v>120.917484</v>
      </c>
      <c r="J28" s="14">
        <f t="shared" si="4"/>
        <v>0.95966257142857148</v>
      </c>
      <c r="K28" s="21"/>
    </row>
    <row r="29" spans="1:13">
      <c r="A29" s="14">
        <v>0.55000000000000004</v>
      </c>
      <c r="B29" s="14">
        <f t="shared" si="0"/>
        <v>1.1000000000000001</v>
      </c>
      <c r="C29" s="14">
        <v>42</v>
      </c>
      <c r="D29" s="14">
        <v>3.15</v>
      </c>
      <c r="E29" s="14">
        <v>45.76</v>
      </c>
      <c r="F29" s="14">
        <v>2.7715999999999998</v>
      </c>
      <c r="G29" s="18">
        <f t="shared" si="1"/>
        <v>1.0895238095238096</v>
      </c>
      <c r="H29" s="14">
        <f t="shared" si="2"/>
        <v>132.29999999999998</v>
      </c>
      <c r="I29" s="14">
        <f t="shared" si="3"/>
        <v>126.82841599999999</v>
      </c>
      <c r="J29" s="14">
        <f t="shared" si="4"/>
        <v>0.95864260015117164</v>
      </c>
      <c r="K29" s="21"/>
    </row>
  </sheetData>
  <mergeCells count="1">
    <mergeCell ref="L21:L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2013-04-29T15:33:27Z</dcterms:modified>
</cp:coreProperties>
</file>